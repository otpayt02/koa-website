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c8da24416f49b4" /></Relationships>
</file>

<file path=xl/workbook.xml><?xml version="1.0" encoding="utf-8"?>
<x:workbook xmlns:x="http://schemas.openxmlformats.org/spreadsheetml/2006/main">
  <x:sheets>
    <x:sheet xmlns:r="http://schemas.openxmlformats.org/officeDocument/2006/relationships" name="Project Plan" sheetId="1" r:id="R2e46648a330b402b"/>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<x:sst xmlns:x="http://schemas.openxmlformats.org/spreadsheetml/2006/main">
  <x:si>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</x:si>
  <x:si>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</x:si>
  <x:si>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</x:si>
  <x:si>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</x:si>
  <x:si>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Project Title</x:t>
  </x:si>
  <x:si>
    <x:t xml:space="preserve">Aurora Launch</x:t>
  </x:si>
  <x:si>
    <x:t xml:space="preserve">Project Manager</x:t>
  </x:si>
  <x:si>
    <x:t xml:space="preserve">Jordan Lee</x:t>
  </x:si>
  <x:si>
    <x:t xml:space="preserve">TOTAL TASKS</x:t>
  </x:si>
  <x:si>
    <x:t xml:space="preserve">COMPLETE</x:t>
  </x:si>
  <x:si>
    <x:t xml:space="preserve">IN PROGRESS</x:t>
  </x:si>
  <x:si>
    <x:t xml:space="preserve">AT RISK</x:t>
  </x:si>
  <x:si>
    <x:t xml:space="preserve">P0 TASKS</x:t>
  </x:si>
  <x:si>
    <x:t xml:space="preserve">Company Name</x:t>
  </x:si>
  <x:si>
    <x:t xml:space="preserve">Northstar Labs</x:t>
  </x:si>
  <x:si>
    <x:t xml:space="preserve">Timeline Start</x:t>
  </x:si>
  <x:si>
    <x:t xml:space="preserve">WORKSTREAM PLAN</x:t>
  </x:si>
  <x:si>
    <x:t xml:space="preserve">GANTT — 20-WEEK VIEW</x:t>
  </x:si>
  <x:si>
    <x:t xml:space="preserve">Workstream</x:t>
  </x:si>
  <x:si>
    <x:t xml:space="preserve">Task</x:t>
  </x:si>
  <x:si>
    <x:t xml:space="preserve">Owner</x:t>
  </x:si>
  <x:si>
    <x:t xml:space="preserve">Status</x:t>
  </x:si>
  <x:si>
    <x:t xml:space="preserve">Priority</x:t>
  </x:si>
  <x:si>
    <x:t xml:space="preserve">Start Date</x:t>
  </x:si>
  <x:si>
    <x:t xml:space="preserve">End Date</x:t>
  </x:si>
  <x:si>
    <x:t xml:space="preserve">Days</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</x:si>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</x:sst>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6">
    <x:numFmt numFmtId="164" formatCode="mmm\ d\,\ yyyy"/>
    <x:numFmt numFmtId="165" formatCode="#,##0;[Red]\(#,##0\);\-"/>
    <x:numFmt numFmtId="166" formatCode="mmm\ d"/>
    <x:numFmt numFmtId="167" formatCode=";;;"/>
    <x:numFmt numFmtId="200" formatCode="mmm d"/>
    <x:numFmt numFmtId="201" formatCode="mmm d, yyyy"/>
  </x:numFmts>
  <x:fonts count="15">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s>
  <x:fills count="9">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s>
  <x:borders count="14">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s>
  <x:cellStyleXfs count="1">
    <x:xf numFmtId="0" fontId="0" fillId="0" borderId="0"/>
  </x:cellStyleXfs>
  <x:cellXfs count="6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166"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166" fontId="14" fillId="4" borderId="1" xfId="0" applyNumberFormat="1" applyFont="1" applyFill="1" applyBorder="1" applyAlignment="1">
      <x:alignment horizontal="center" vertical="center" wrapText="1"/>
    </x:xf>
    <x:xf numFmtId="166" fontId="11" fillId="4" borderId="1" xfId="0" applyNumberFormat="1" applyFont="1" applyFill="1" applyBorder="1" applyAlignment="1">
      <x:alignment horizontal="center" vertical="center" wrapText="1"/>
    </x:xf>
    <x:xf numFmtId="166" fontId="11" fillId="7" borderId="1" xfId="0" applyNumberFormat="1" applyFont="1" applyFill="1" applyBorder="1" applyAlignment="1">
      <x:alignment horizontal="center" vertical="center" wrapText="1"/>
    </x:xf>
    <x:xf numFmtId="200" fontId="14" fillId="7" borderId="1" xfId="0" applyNumberFormat="1" applyFont="1" applyFill="1" applyBorder="1" applyAlignment="1">
      <x:alignment horizontal="center" vertical="center" wrapText="1"/>
    </x:xf>
    <x:xf numFmtId="200" fontId="14" fillId="4" borderId="1" xfId="0" applyNumberFormat="1" applyFont="1" applyFill="1" applyBorder="1" applyAlignment="1">
      <x:alignment horizontal="center" vertical="center" wrapText="1"/>
    </x:xf>
    <x:xf numFmtId="200" fontId="11" fillId="4" borderId="1" xfId="0" applyNumberFormat="1" applyFont="1" applyFill="1" applyBorder="1" applyAlignment="1">
      <x:alignment horizontal="center" vertical="center" wrapText="1"/>
    </x:xf>
    <x:xf numFmtId="200" fontId="11" fillId="7" borderId="1" xfId="0" applyNumberFormat="1" applyFont="1" applyFill="1" applyBorder="1" applyAlignment="1">
      <x:alignment horizontal="center" vertical="center" wrapText="1"/>
    </x:xf>
    <x:xf numFmtId="201" fontId="14" fillId="5" borderId="2" xfId="0" applyNumberFormat="1" applyFont="1" applyFill="1" applyBorder="1" applyAlignment="1">
      <x:alignment horizontal="left" vertical="center"/>
    </x:xf>
  </x:cellXfs>
  <x:cellStyles count="1">
    <x:cellStyle name="Normal" xfId="0"/>
  </x:cellStyles>
  <x:dxfs count="11">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4bb29688e740f2" /><Relationship Type="http://schemas.openxmlformats.org/officeDocument/2006/relationships/theme" Target="/xl/theme/theme1.xml" Id="Rd4ec0ce9c5de46aa" /><Relationship Type="http://schemas.openxmlformats.org/officeDocument/2006/relationships/sharedStrings" Target="/xl/sharedStrings.xml" Id="Rd3f179843d9f45ef" /><Relationship Type="http://schemas.openxmlformats.org/officeDocument/2006/relationships/worksheet" Target="/xl/worksheets/sheet1.xml" Id="R2e46648a330b402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33203125" style="14" customWidth="1"/>
    <x:col min="2" max="2" width="19" style="14" customWidth="1"/>
    <x:col min="3" max="3" width="34" style="14" hidden="0" customWidth="1"/>
    <x:col min="4" max="4" width="18" style="14" hidden="0"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KOA v4 Implementation Tracker and Weekly Gantt Plan</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
        <x:v>1</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
        <x:v>2</x:v>
      </x:c>
      <x:c r="C4" s="21" t="s">
        <x:v>2</x:v>
      </x:c>
      <x:c r="D4" s="21" t="s">
        <x:v>2</x:v>
      </x:c>
      <x:c r="E4" s="21" t="s">
        <x:v>2</x:v>
      </x:c>
      <x:c r="F4" s="21" t="s">
        <x:v>2</x:v>
      </x:c>
      <x:c r="G4" s="21" t="s">
        <x:v>2</x:v>
      </x:c>
      <x:c r="H4" s="21" t="s">
        <x:v>2</x:v>
      </x:c>
      <x:c r="I4" s="21" t="s">
        <x:v>2</x:v>
      </x:c>
      <x:c r="J4" s="15"/>
      <x:c r="K4" s="21" t="s">
        <x:v>3</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
        <x:v>4</x:v>
      </x:c>
      <x:c r="C5" s="22" t="str">
        <x:v>KOA Website v4</x:v>
      </x:c>
      <x:c r="D5" s="22" t="s">
        <x:v>5</x:v>
      </x:c>
      <x:c r="E5" s="22" t="s">
        <x:v>5</x:v>
      </x:c>
      <x:c r="F5" s="27" t="s">
        <x:v>6</x:v>
      </x:c>
      <x:c r="G5" s="28"/>
      <x:c r="H5" s="23" t="str">
        <x:v>Oliver P + Codex</x:v>
      </x:c>
      <x:c r="I5" s="23" t="s">
        <x:v>7</x:v>
      </x:c>
      <x:c r="J5" s="15"/>
      <x:c r="K5" s="24" t="s">
        <x:v>8</x:v>
      </x:c>
      <x:c r="L5" s="25" t="s">
        <x:v>8</x:v>
      </x:c>
      <x:c r="M5" s="25" t="s">
        <x:v>8</x:v>
      </x:c>
      <x:c r="N5" s="26" t="s">
        <x:v>8</x:v>
      </x:c>
      <x:c r="O5" s="24" t="s">
        <x:v>9</x:v>
      </x:c>
      <x:c r="P5" s="25" t="s">
        <x:v>9</x:v>
      </x:c>
      <x:c r="Q5" s="25" t="s">
        <x:v>9</x:v>
      </x:c>
      <x:c r="R5" s="26" t="s">
        <x:v>9</x:v>
      </x:c>
      <x:c r="S5" s="24" t="s">
        <x:v>10</x:v>
      </x:c>
      <x:c r="T5" s="25" t="s">
        <x:v>10</x:v>
      </x:c>
      <x:c r="U5" s="25" t="s">
        <x:v>10</x:v>
      </x:c>
      <x:c r="V5" s="26" t="s">
        <x:v>10</x:v>
      </x:c>
      <x:c r="W5" s="24" t="s">
        <x:v>11</x:v>
      </x:c>
      <x:c r="X5" s="25" t="s">
        <x:v>11</x:v>
      </x:c>
      <x:c r="Y5" s="25" t="s">
        <x:v>11</x:v>
      </x:c>
      <x:c r="Z5" s="26" t="s">
        <x:v>11</x:v>
      </x:c>
      <x:c r="AA5" s="24" t="s">
        <x:v>12</x:v>
      </x:c>
      <x:c r="AB5" s="25" t="s">
        <x:v>12</x:v>
      </x:c>
      <x:c r="AC5" s="25" t="s">
        <x:v>12</x:v>
      </x:c>
      <x:c r="AD5" s="26" t="s">
        <x:v>12</x:v>
      </x:c>
    </x:row>
    <x:row r="6" ht="22" customHeight="1">
      <x:c r="B6" s="18" t="s">
        <x:v>13</x:v>
      </x:c>
      <x:c r="C6" s="23" t="str">
        <x:v>Karen Organization of America</x:v>
      </x:c>
      <x:c r="D6" s="23" t="s">
        <x:v>14</x:v>
      </x:c>
      <x:c r="E6" s="23" t="s">
        <x:v>14</x:v>
      </x:c>
      <x:c r="F6" s="27" t="s">
        <x:v>15</x:v>
      </x:c>
      <x:c r="G6" s="28"/>
      <x:c r="H6" s="62" t="n">
        <x:v>46244</x:v>
      </x:c>
      <x:c r="I6" s="41">
        <x:v>46209</x:v>
      </x:c>
      <x:c r="J6" s="15"/>
      <x:c r="K6" s="42" t="n">
        <x:f>COUNTA($C$10:$C$39)</x:f>
        <x:v>30</x:v>
      </x:c>
      <x:c r="L6" s="43"/>
      <x:c r="M6" s="43"/>
      <x:c r="N6" s="44"/>
      <x:c r="O6" s="45" t="n">
        <x:f>COUNTIF($E$10:$E$39,"Complete")</x:f>
        <x:v>2</x:v>
      </x:c>
      <x:c r="P6" s="46"/>
      <x:c r="Q6" s="46"/>
      <x:c r="R6" s="47"/>
      <x:c r="S6" s="35" t="n">
        <x:f>COUNTIF($E$10:$E$39,"In Progress")</x:f>
        <x:v>24</x:v>
      </x:c>
      <x:c r="T6" s="36"/>
      <x:c r="U6" s="36"/>
      <x:c r="V6" s="37"/>
      <x:c r="W6" s="38" t="n">
        <x:f>COUNTIF($E$10:$E$39,"At Risk")</x:f>
        <x:v>3</x:v>
      </x:c>
      <x:c r="X6" s="39"/>
      <x:c r="Y6" s="39"/>
      <x:c r="Z6" s="40"/>
      <x:c r="AA6" s="38" t="n">
        <x:f>COUNTIF($F$10:$F$39,"P0")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
        <x:v>16</x:v>
      </x:c>
      <x:c r="C8" s="21" t="s">
        <x:v>16</x:v>
      </x:c>
      <x:c r="D8" s="21" t="s">
        <x:v>16</x:v>
      </x:c>
      <x:c r="E8" s="21" t="s">
        <x:v>16</x:v>
      </x:c>
      <x:c r="F8" s="21" t="s">
        <x:v>16</x:v>
      </x:c>
      <x:c r="G8" s="21" t="s">
        <x:v>16</x:v>
      </x:c>
      <x:c r="H8" s="21" t="s">
        <x:v>16</x:v>
      </x:c>
      <x:c r="I8" s="21" t="s">
        <x:v>16</x:v>
      </x:c>
      <x:c r="J8" s="15"/>
      <x:c r="K8" s="21" t="s">
        <x:v>17</x:v>
      </x:c>
      <x:c r="L8" s="21" t="s">
        <x:v>17</x:v>
      </x:c>
      <x:c r="M8" s="21" t="s">
        <x:v>17</x:v>
      </x:c>
      <x:c r="N8" s="21" t="s">
        <x:v>17</x:v>
      </x:c>
      <x:c r="O8" s="21" t="s">
        <x:v>17</x:v>
      </x:c>
      <x:c r="P8" s="21" t="s">
        <x:v>17</x:v>
      </x:c>
      <x:c r="Q8" s="21" t="s">
        <x:v>17</x:v>
      </x:c>
      <x:c r="R8" s="21" t="s">
        <x:v>17</x:v>
      </x:c>
      <x:c r="S8" s="21" t="s">
        <x:v>17</x:v>
      </x:c>
      <x:c r="T8" s="21" t="s">
        <x:v>17</x:v>
      </x:c>
      <x:c r="U8" s="21" t="s">
        <x:v>17</x:v>
      </x:c>
      <x:c r="V8" s="21" t="s">
        <x:v>17</x:v>
      </x:c>
      <x:c r="W8" s="21" t="s">
        <x:v>17</x:v>
      </x:c>
      <x:c r="X8" s="21" t="s">
        <x:v>17</x:v>
      </x:c>
      <x:c r="Y8" s="21" t="s">
        <x:v>17</x:v>
      </x:c>
      <x:c r="Z8" s="21" t="s">
        <x:v>17</x:v>
      </x:c>
      <x:c r="AA8" s="21" t="s">
        <x:v>17</x:v>
      </x:c>
      <x:c r="AB8" s="21" t="s">
        <x:v>17</x:v>
      </x:c>
      <x:c r="AC8" s="21" t="s">
        <x:v>17</x:v>
      </x:c>
      <x:c r="AD8" s="21" t="s">
        <x:v>17</x:v>
      </x:c>
    </x:row>
    <x:row r="9" ht="28" customHeight="1">
      <x:c r="B9" s="1" t="s">
        <x:v>18</x:v>
      </x:c>
      <x:c r="C9" s="1" t="s">
        <x:v>19</x:v>
      </x:c>
      <x:c r="D9" s="1" t="s">
        <x:v>20</x:v>
      </x:c>
      <x:c r="E9" s="1" t="s">
        <x:v>21</x:v>
      </x:c>
      <x:c r="F9" s="1" t="s">
        <x:v>22</x:v>
      </x:c>
      <x:c r="G9" s="1" t="s">
        <x:v>23</x:v>
      </x:c>
      <x:c r="H9" s="1" t="s">
        <x:v>24</x:v>
      </x:c>
      <x:c r="I9" s="1" t="s">
        <x:v>25</x:v>
      </x:c>
      <x:c r="J9" s="15"/>
      <x:c r="K9" s="2" t="n">
        <x:f>$H$6</x:f>
        <x:v>46244</x:v>
      </x:c>
      <x:c r="L9" s="2" t="n">
        <x:f t="shared" ref="L9:AD9" si="0">K9+7</x:f>
        <x:v>46251</x:v>
      </x:c>
      <x:c r="M9" s="2" t="n">
        <x:f t="shared" si="0">L9+7</x:f>
        <x:v>46258</x:v>
      </x:c>
      <x:c r="N9" s="2" t="n">
        <x:f t="shared" si="0">M9+7</x:f>
        <x:v>46265</x:v>
      </x:c>
      <x:c r="O9" s="2" t="n">
        <x:f t="shared" si="0">N9+7</x:f>
        <x:v>46272</x:v>
      </x:c>
      <x:c r="P9" s="2" t="n">
        <x:f t="shared" si="0">O9+7</x:f>
        <x:v>46279</x:v>
      </x:c>
      <x:c r="Q9" s="2" t="n">
        <x:f t="shared" si="0">P9+7</x:f>
        <x:v>46286</x:v>
      </x:c>
      <x:c r="R9" s="2" t="n">
        <x:f t="shared" si="0">Q9+7</x:f>
        <x:v>46293</x:v>
      </x:c>
      <x:c r="S9" s="2" t="n">
        <x:f t="shared" si="0">R9+7</x:f>
        <x:v>46300</x:v>
      </x:c>
      <x:c r="T9" s="2" t="n">
        <x:f t="shared" si="0">S9+7</x:f>
        <x:v>46307</x:v>
      </x:c>
      <x:c r="U9" s="2" t="n">
        <x:f t="shared" si="0">T9+7</x:f>
        <x:v>46314</x:v>
      </x:c>
      <x:c r="V9" s="2" t="n">
        <x:f t="shared" si="0">U9+7</x:f>
        <x:v>46321</x:v>
      </x:c>
      <x:c r="W9" s="2" t="n">
        <x:f t="shared" si="0">V9+7</x:f>
        <x:v>46328</x:v>
      </x:c>
      <x:c r="X9" s="2" t="n">
        <x:f t="shared" si="0">W9+7</x:f>
        <x:v>46335</x:v>
      </x:c>
      <x:c r="Y9" s="2" t="n">
        <x:f t="shared" si="0">X9+7</x:f>
        <x:v>46342</x:v>
      </x:c>
      <x:c r="Z9" s="2" t="n">
        <x:f t="shared" si="0">Y9+7</x:f>
        <x:v>46349</x:v>
      </x:c>
      <x:c r="AA9" s="2" t="n">
        <x:f t="shared" si="0">Z9+7</x:f>
        <x:v>46356</x:v>
      </x:c>
      <x:c r="AB9" s="2" t="n">
        <x:f t="shared" si="0">AA9+7</x:f>
        <x:v>46363</x:v>
      </x:c>
      <x:c r="AC9" s="2" t="n">
        <x:f t="shared" si="0">AB9+7</x:f>
        <x:v>46370</x:v>
      </x:c>
      <x:c r="AD9" s="2" t="n">
        <x:f t="shared" si="0">AC9+7</x:f>
        <x:v>46377</x:v>
      </x:c>
    </x:row>
    <x:row r="10">
      <x:c r="B10" s="48" t="str">
        <x:v>Foundation</x:v>
      </x:c>
      <x:c r="C10" s="49" t="str">
        <x:v>Reconcile v4 SPEC and IDEAS boundaries</x:v>
      </x:c>
      <x:c r="D10" s="50" t="str">
        <x:v>Codex swarm</x:v>
      </x:c>
      <x:c r="E10" s="50" t="str">
        <x:v>Complete</x:v>
      </x:c>
      <x:c r="F10" s="50" t="str">
        <x:v>P0</x:v>
      </x:c>
      <x:c r="G10" s="58" t="n">
        <x:v>46244</x:v>
      </x:c>
      <x:c r="H10" s="58" t="n">
        <x:v>46244</x:v>
      </x:c>
      <x:c r="I10" s="11" t="n">
        <x:f t="shared" ref="I10:I39" si="1">IF(OR(G10="",H10="",H10&lt;G10),"",H10-G10+1)</x:f>
        <x:v>1</x:v>
      </x:c>
      <x:c r="J10" s="15"/>
      <x:c r="K10" s="12" t="n">
        <x:f t="shared" ref="K10:T19" si="2">IF(OR($G10="",$H10="",$H10&lt;$G10),"",IF(AND(K$9&lt;=$H10,K$9+6&gt;=$G10),1,""))</x:f>
        <x:v>1</x:v>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x:c r="B11" s="52" t="str">
        <x:v>Foundation</x:v>
      </x:c>
      <x:c r="C11" s="53" t="str">
        <x:v>Preserve and map the existing KOA visual system</x:v>
      </x:c>
      <x:c r="D11" s="54" t="str">
        <x:v>Codex swarm</x:v>
      </x:c>
      <x:c r="E11" s="54" t="str">
        <x:v>Complete</x:v>
      </x:c>
      <x:c r="F11" s="54" t="str">
        <x:v>P0</x:v>
      </x:c>
      <x:c r="G11" s="59" t="n">
        <x:v>46244</x:v>
      </x:c>
      <x:c r="H11" s="59" t="n">
        <x:v>46244</x:v>
      </x:c>
      <x:c r="I11" s="11" t="n">
        <x:f t="shared" si="1">IF(OR(G11="",H11="",H11&lt;G11),"",H11-G11+1)</x:f>
        <x:v>1</x:v>
      </x:c>
      <x:c r="J11" s="15"/>
      <x:c r="K11" s="12" t="n">
        <x:f t="shared" si="2">IF(OR($G11="",$H11="",$H11&lt;$G11),"",IF(AND(K$9&lt;=$H11,K$9+6&gt;=$G11),1,""))</x:f>
        <x:v>1</x:v>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x:c r="B12" s="48" t="str">
        <x:v>Foundation</x:v>
      </x:c>
      <x:c r="C12" s="49" t="str">
        <x:v>Build bilingual route shell and language toggle</x:v>
      </x:c>
      <x:c r="D12" s="50" t="str">
        <x:v>Codex swarm</x:v>
      </x:c>
      <x:c r="E12" s="50" t="str">
        <x:v>In Progress</x:v>
      </x:c>
      <x:c r="F12" s="50" t="str">
        <x:v>P0</x:v>
      </x:c>
      <x:c r="G12" s="58" t="n">
        <x:v>46244</x:v>
      </x:c>
      <x:c r="H12" s="58" t="n">
        <x:v>46250</x:v>
      </x:c>
      <x:c r="I12" s="11" t="n">
        <x:f t="shared" si="1">IF(OR(G12="",H12="",H12&lt;G12),"",H12-G12+1)</x:f>
        <x:v>7</x:v>
      </x:c>
      <x:c r="J12" s="15"/>
      <x:c r="K12" s="12" t="n">
        <x:f t="shared" si="2">IF(OR($G12="",$H12="",$H12&lt;$G12),"",IF(AND(K$9&lt;=$H12,K$9+6&gt;=$G12),1,""))</x:f>
        <x:v>1</x:v>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x:c r="B13" s="52" t="str">
        <x:v>Foundation</x:v>
      </x:c>
      <x:c r="C13" s="53" t="str">
        <x:v>Implement reusable accessible design components</x:v>
      </x:c>
      <x:c r="D13" s="54" t="str">
        <x:v>Codex swarm</x:v>
      </x:c>
      <x:c r="E13" s="54" t="str">
        <x:v>In Progress</x:v>
      </x:c>
      <x:c r="F13" s="54" t="str">
        <x:v>P0</x:v>
      </x:c>
      <x:c r="G13" s="59" t="n">
        <x:v>46244</x:v>
      </x:c>
      <x:c r="H13" s="59" t="n">
        <x:v>46250</x:v>
      </x:c>
      <x:c r="I13" s="11" t="n">
        <x:f t="shared" si="1">IF(OR(G13="",H13="",H13&lt;G13),"",H13-G13+1)</x:f>
        <x:v>7</x:v>
      </x:c>
      <x:c r="J13" s="15"/>
      <x:c r="K13" s="12" t="n">
        <x:f t="shared" si="2">IF(OR($G13="",$H13="",$H13&lt;$G13),"",IF(AND(K$9&lt;=$H13,K$9+6&gt;=$G13),1,""))</x:f>
        <x:v>1</x:v>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x:c r="B14" s="48" t="str">
        <x:v>Foundation</x:v>
      </x:c>
      <x:c r="C14" s="49" t="str">
        <x:v>Create D1 schema, migration, audit logging, and roles</x:v>
      </x:c>
      <x:c r="D14" s="50" t="str">
        <x:v>Codex swarm</x:v>
      </x:c>
      <x:c r="E14" s="50" t="str">
        <x:v>In Progress</x:v>
      </x:c>
      <x:c r="F14" s="50" t="str">
        <x:v>P0</x:v>
      </x:c>
      <x:c r="G14" s="58" t="n">
        <x:v>46244</x:v>
      </x:c>
      <x:c r="H14" s="58" t="n">
        <x:v>46250</x:v>
      </x:c>
      <x:c r="I14" s="11" t="n">
        <x:f t="shared" si="1">IF(OR(G14="",H14="",H14&lt;G14),"",H14-G14+1)</x:f>
        <x:v>7</x:v>
      </x:c>
      <x:c r="J14" s="15"/>
      <x:c r="K14" s="12" t="n">
        <x:f t="shared" si="2">IF(OR($G14="",$H14="",$H14&lt;$G14),"",IF(AND(K$9&lt;=$H14,K$9+6&gt;=$G14),1,""))</x:f>
        <x:v>1</x:v>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x:c r="B15" s="52" t="str">
        <x:v>Dictionary</x:v>
      </x:c>
      <x:c r="C15" s="53" t="str">
        <x:v>Build dictionary browse, search, and filters</x:v>
      </x:c>
      <x:c r="D15" s="54" t="str">
        <x:v>Codex swarm</x:v>
      </x:c>
      <x:c r="E15" s="54" t="str">
        <x:v>In Progress</x:v>
      </x:c>
      <x:c r="F15" s="54" t="str">
        <x:v>P0</x:v>
      </x:c>
      <x:c r="G15" s="59" t="n">
        <x:v>46251</x:v>
      </x:c>
      <x:c r="H15" s="59" t="n">
        <x:v>46257</x:v>
      </x:c>
      <x:c r="I15" s="11" t="n">
        <x:f t="shared" si="1">IF(OR(G15="",H15="",H15&lt;G15),"",H15-G15+1)</x:f>
        <x:v>7</x:v>
      </x:c>
      <x:c r="J15" s="15"/>
      <x:c r="K15" s="12" t="str">
        <x:f t="shared" si="2">IF(OR($G15="",$H15="",$H15&lt;$G15),"",IF(AND(K$9&lt;=$H15,K$9+6&gt;=$G15),1,""))</x:f>
      </x:c>
      <x:c r="L15" s="13" t="n">
        <x:f t="shared" si="2">IF(OR($G15="",$H15="",$H15&lt;$G15),"",IF(AND(L$9&lt;=$H15,L$9+6&gt;=$G15),1,""))</x:f>
        <x:v>1</x:v>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x:c r="B16" s="48" t="str">
        <x:v>Dictionary</x:v>
      </x:c>
      <x:c r="C16" s="49" t="str">
        <x:v>Build bilingual dictionary entry detail</x:v>
      </x:c>
      <x:c r="D16" s="50" t="str">
        <x:v>Codex swarm</x:v>
      </x:c>
      <x:c r="E16" s="50" t="str">
        <x:v>In Progress</x:v>
      </x:c>
      <x:c r="F16" s="50" t="str">
        <x:v>P0</x:v>
      </x:c>
      <x:c r="G16" s="58" t="n">
        <x:v>46251</x:v>
      </x:c>
      <x:c r="H16" s="58" t="n">
        <x:v>46257</x:v>
      </x:c>
      <x:c r="I16" s="11" t="n">
        <x:f t="shared" si="1">IF(OR(G16="",H16="",H16&lt;G16),"",H16-G16+1)</x:f>
        <x:v>7</x:v>
      </x:c>
      <x:c r="J16" s="15"/>
      <x:c r="K16" s="12" t="str">
        <x:f t="shared" si="2">IF(OR($G16="",$H16="",$H16&lt;$G16),"",IF(AND(K$9&lt;=$H16,K$9+6&gt;=$G16),1,""))</x:f>
      </x:c>
      <x:c r="L16" s="13" t="n">
        <x:f t="shared" si="2">IF(OR($G16="",$H16="",$H16&lt;$G16),"",IF(AND(L$9&lt;=$H16,L$9+6&gt;=$G16),1,""))</x:f>
        <x:v>1</x:v>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x:c r="B17" s="52" t="str">
        <x:v>Dictionary</x:v>
      </x:c>
      <x:c r="C17" s="53" t="str">
        <x:v>Implement definitions, variants, relations, and examples</x:v>
      </x:c>
      <x:c r="D17" s="54" t="str">
        <x:v>Codex swarm</x:v>
      </x:c>
      <x:c r="E17" s="54" t="str">
        <x:v>In Progress</x:v>
      </x:c>
      <x:c r="F17" s="54" t="str">
        <x:v>P0</x:v>
      </x:c>
      <x:c r="G17" s="59" t="n">
        <x:v>46251</x:v>
      </x:c>
      <x:c r="H17" s="59" t="n">
        <x:v>46264</x:v>
      </x:c>
      <x:c r="I17" s="11" t="n">
        <x:f t="shared" si="1">IF(OR(G17="",H17="",H17&lt;G17),"",H17-G17+1)</x:f>
        <x:v>14</x:v>
      </x:c>
      <x:c r="J17" s="15"/>
      <x:c r="K17" s="12" t="str">
        <x:f t="shared" si="2">IF(OR($G17="",$H17="",$H17&lt;$G17),"",IF(AND(K$9&lt;=$H17,K$9+6&gt;=$G17),1,""))</x:f>
      </x:c>
      <x:c r="L17" s="13" t="n">
        <x:f t="shared" si="2">IF(OR($G17="",$H17="",$H17&lt;$G17),"",IF(AND(L$9&lt;=$H17,L$9+6&gt;=$G17),1,""))</x:f>
        <x:v>1</x:v>
      </x:c>
      <x:c r="M17" s="12" t="n">
        <x:f t="shared" si="2">IF(OR($G17="",$H17="",$H17&lt;$G17),"",IF(AND(M$9&lt;=$H17,M$9+6&gt;=$G17),1,""))</x:f>
        <x:v>1</x:v>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x:c r="B18" s="48" t="str">
        <x:v>Dictionary</x:v>
      </x:c>
      <x:c r="C18" s="49" t="str">
        <x:v>Implement contribution and moderation workflow</x:v>
      </x:c>
      <x:c r="D18" s="50" t="str">
        <x:v>Codex swarm</x:v>
      </x:c>
      <x:c r="E18" s="50" t="str">
        <x:v>In Progress</x:v>
      </x:c>
      <x:c r="F18" s="50" t="str">
        <x:v>P0</x:v>
      </x:c>
      <x:c r="G18" s="58" t="n">
        <x:v>46258</x:v>
      </x:c>
      <x:c r="H18" s="58" t="n">
        <x:v>46271</x:v>
      </x:c>
      <x:c r="I18" s="11" t="n">
        <x:f t="shared" si="1">IF(OR(G18="",H18="",H18&lt;G18),"",H18-G18+1)</x:f>
        <x:v>14</x:v>
      </x:c>
      <x:c r="J18" s="15"/>
      <x:c r="K18" s="12" t="str">
        <x:f t="shared" si="2">IF(OR($G18="",$H18="",$H18&lt;$G18),"",IF(AND(K$9&lt;=$H18,K$9+6&gt;=$G18),1,""))</x:f>
      </x:c>
      <x:c r="L18" s="13" t="str">
        <x:f t="shared" si="2">IF(OR($G18="",$H18="",$H18&lt;$G18),"",IF(AND(L$9&lt;=$H18,L$9+6&gt;=$G18),1,""))</x:f>
      </x:c>
      <x:c r="M18" s="12" t="n">
        <x:f t="shared" si="2">IF(OR($G18="",$H18="",$H18&lt;$G18),"",IF(AND(M$9&lt;=$H18,M$9+6&gt;=$G18),1,""))</x:f>
        <x:v>1</x:v>
      </x:c>
      <x:c r="N18" s="13" t="n">
        <x:f t="shared" si="2">IF(OR($G18="",$H18="",$H18&lt;$G18),"",IF(AND(N$9&lt;=$H18,N$9+6&gt;=$G18),1,""))</x:f>
        <x:v>1</x:v>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x:c r="B19" s="52" t="str">
        <x:v>Dictionary</x:v>
      </x:c>
      <x:c r="C19" s="53" t="str">
        <x:v>Implement R2 audio recording and upload metadata</x:v>
      </x:c>
      <x:c r="D19" s="54" t="str">
        <x:v>Codex swarm</x:v>
      </x:c>
      <x:c r="E19" s="54" t="str">
        <x:v>In Progress</x:v>
      </x:c>
      <x:c r="F19" s="54" t="str">
        <x:v>P0</x:v>
      </x:c>
      <x:c r="G19" s="59" t="n">
        <x:v>46258</x:v>
      </x:c>
      <x:c r="H19" s="59" t="n">
        <x:v>46271</x:v>
      </x:c>
      <x:c r="I19" s="11" t="n">
        <x:f t="shared" si="1">IF(OR(G19="",H19="",H19&lt;G19),"",H19-G19+1)</x:f>
        <x:v>14</x:v>
      </x:c>
      <x:c r="J19" s="15"/>
      <x:c r="K19" s="12" t="str">
        <x:f t="shared" si="2">IF(OR($G19="",$H19="",$H19&lt;$G19),"",IF(AND(K$9&lt;=$H19,K$9+6&gt;=$G19),1,""))</x:f>
      </x:c>
      <x:c r="L19" s="13" t="str">
        <x:f t="shared" si="2">IF(OR($G19="",$H19="",$H19&lt;$G19),"",IF(AND(L$9&lt;=$H19,L$9+6&gt;=$G19),1,""))</x:f>
      </x:c>
      <x:c r="M19" s="12" t="n">
        <x:f t="shared" si="2">IF(OR($G19="",$H19="",$H19&lt;$G19),"",IF(AND(M$9&lt;=$H19,M$9+6&gt;=$G19),1,""))</x:f>
        <x:v>1</x:v>
      </x:c>
      <x:c r="N19" s="13" t="n">
        <x:f t="shared" si="2">IF(OR($G19="",$H19="",$H19&lt;$G19),"",IF(AND(N$9&lt;=$H19,N$9+6&gt;=$G19),1,""))</x:f>
        <x:v>1</x:v>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x:c r="B20" s="48" t="str">
        <x:v>Dictionary</x:v>
      </x:c>
      <x:c r="C20" s="49" t="str">
        <x:v>Build contributor profiles and review status</x:v>
      </x:c>
      <x:c r="D20" s="50" t="str">
        <x:v>Codex swarm</x:v>
      </x:c>
      <x:c r="E20" s="50" t="str">
        <x:v>In Progress</x:v>
      </x:c>
      <x:c r="F20" s="50" t="str">
        <x:v>P1</x:v>
      </x:c>
      <x:c r="G20" s="58" t="n">
        <x:v>46265</x:v>
      </x:c>
      <x:c r="H20" s="58" t="n">
        <x:v>46271</x:v>
      </x:c>
      <x:c r="I20" s="11" t="n">
        <x:f t="shared" si="1">IF(OR(G20="",H20="",H20&lt;G20),"",H20-G20+1)</x:f>
        <x:v>7</x:v>
      </x:c>
      <x:c r="J20" s="15"/>
      <x:c r="K20" s="12" t="str">
        <x:f t="shared" ref="K20:T29" si="4">IF(OR($G20="",$H20="",$H20&lt;$G20),"",IF(AND(K$9&lt;=$H20,K$9+6&gt;=$G20),1,""))</x:f>
      </x:c>
      <x:c r="L20" s="13" t="str">
        <x:f t="shared" si="4">IF(OR($G20="",$H20="",$H20&lt;$G20),"",IF(AND(L$9&lt;=$H20,L$9+6&gt;=$G20),1,""))</x:f>
      </x:c>
      <x:c r="M20" s="12" t="str">
        <x:f t="shared" si="4">IF(OR($G20="",$H20="",$H20&lt;$G20),"",IF(AND(M$9&lt;=$H20,M$9+6&gt;=$G20),1,""))</x:f>
      </x:c>
      <x:c r="N20" s="13" t="n">
        <x:f t="shared" si="4">IF(OR($G20="",$H20="",$H20&lt;$G20),"",IF(AND(N$9&lt;=$H20,N$9+6&gt;=$G20),1,""))</x:f>
        <x:v>1</x:v>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x:c r="B21" s="52" t="str">
        <x:v>Translation</x:v>
      </x:c>
      <x:c r="C21" s="53" t="str">
        <x:v>Publish translation and interpretation services</x:v>
      </x:c>
      <x:c r="D21" s="54" t="str">
        <x:v>Codex swarm</x:v>
      </x:c>
      <x:c r="E21" s="54" t="str">
        <x:v>In Progress</x:v>
      </x:c>
      <x:c r="F21" s="54" t="str">
        <x:v>P0</x:v>
      </x:c>
      <x:c r="G21" s="59" t="n">
        <x:v>46272</x:v>
      </x:c>
      <x:c r="H21" s="59" t="n">
        <x:v>46278</x:v>
      </x:c>
      <x:c r="I21" s="11" t="n">
        <x:f t="shared" si="1">IF(OR(G21="",H21="",H21&lt;G21),"",H21-G21+1)</x:f>
        <x:v>7</x:v>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n">
        <x:f t="shared" si="4">IF(OR($G21="",$H21="",$H21&lt;$G21),"",IF(AND(O$9&lt;=$H21,O$9+6&gt;=$G21),1,""))</x:f>
        <x:v>1</x:v>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x:c r="B22" s="48" t="str">
        <x:v>Translation</x:v>
      </x:c>
      <x:c r="C22" s="49" t="str">
        <x:v>Build approved interpreter directory and filters</x:v>
      </x:c>
      <x:c r="D22" s="50" t="str">
        <x:v>Codex swarm</x:v>
      </x:c>
      <x:c r="E22" s="50" t="str">
        <x:v>In Progress</x:v>
      </x:c>
      <x:c r="F22" s="50" t="str">
        <x:v>P0</x:v>
      </x:c>
      <x:c r="G22" s="58" t="n">
        <x:v>46272</x:v>
      </x:c>
      <x:c r="H22" s="58" t="n">
        <x:v>46285</x:v>
      </x:c>
      <x:c r="I22" s="11" t="n">
        <x:f t="shared" si="1">IF(OR(G22="",H22="",H22&lt;G22),"",H22-G22+1)</x:f>
        <x:v>14</x:v>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n">
        <x:f t="shared" si="4">IF(OR($G22="",$H22="",$H22&lt;$G22),"",IF(AND(O$9&lt;=$H22,O$9+6&gt;=$G22),1,""))</x:f>
        <x:v>1</x:v>
      </x:c>
      <x:c r="P22" s="13" t="n">
        <x:f t="shared" si="4">IF(OR($G22="",$H22="",$H22&lt;$G22),"",IF(AND(P$9&lt;=$H22,P$9+6&gt;=$G22),1,""))</x:f>
        <x:v>1</x:v>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x:c r="B23" s="52" t="str">
        <x:v>Translation</x:v>
      </x:c>
      <x:c r="C23" s="53" t="str">
        <x:v>Implement service request and booking intake</x:v>
      </x:c>
      <x:c r="D23" s="54" t="str">
        <x:v>Codex swarm</x:v>
      </x:c>
      <x:c r="E23" s="54" t="str">
        <x:v>In Progress</x:v>
      </x:c>
      <x:c r="F23" s="54" t="str">
        <x:v>P0</x:v>
      </x:c>
      <x:c r="G23" s="59" t="n">
        <x:v>46279</x:v>
      </x:c>
      <x:c r="H23" s="59" t="n">
        <x:v>46285</x:v>
      </x:c>
      <x:c r="I23" s="11" t="n">
        <x:f t="shared" si="1">IF(OR(G23="",H23="",H23&lt;G23),"",H23-G23+1)</x:f>
        <x:v>7</x:v>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n">
        <x:f t="shared" si="4">IF(OR($G23="",$H23="",$H23&lt;$G23),"",IF(AND(P$9&lt;=$H23,P$9+6&gt;=$G23),1,""))</x:f>
        <x:v>1</x:v>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x:c r="B24" s="48" t="str">
        <x:v>Translation</x:v>
      </x:c>
      <x:c r="C24" s="49" t="str">
        <x:v>Add court partnership intake and safety copy</x:v>
      </x:c>
      <x:c r="D24" s="50" t="str">
        <x:v>Codex swarm</x:v>
      </x:c>
      <x:c r="E24" s="50" t="str">
        <x:v>In Progress</x:v>
      </x:c>
      <x:c r="F24" s="50" t="str">
        <x:v>P1</x:v>
      </x:c>
      <x:c r="G24" s="58" t="n">
        <x:v>46279</x:v>
      </x:c>
      <x:c r="H24" s="58" t="n">
        <x:v>46285</x:v>
      </x:c>
      <x:c r="I24" s="11" t="n">
        <x:f t="shared" si="1">IF(OR(G24="",H24="",H24&lt;G24),"",H24-G24+1)</x:f>
        <x:v>7</x:v>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n">
        <x:f t="shared" si="4">IF(OR($G24="",$H24="",$H24&lt;$G24),"",IF(AND(P$9&lt;=$H24,P$9+6&gt;=$G24),1,""))</x:f>
        <x:v>1</x:v>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x:c r="B25" s="52" t="str">
        <x:v>Community</x:v>
      </x:c>
      <x:c r="C25" s="53" t="str">
        <x:v>Build community hub, stories, and events</x:v>
      </x:c>
      <x:c r="D25" s="54" t="str">
        <x:v>Codex swarm</x:v>
      </x:c>
      <x:c r="E25" s="54" t="str">
        <x:v>In Progress</x:v>
      </x:c>
      <x:c r="F25" s="54" t="str">
        <x:v>P1</x:v>
      </x:c>
      <x:c r="G25" s="59" t="n">
        <x:v>46286</x:v>
      </x:c>
      <x:c r="H25" s="59" t="n">
        <x:v>46292</x:v>
      </x:c>
      <x:c r="I25" s="11" t="n">
        <x:f t="shared" si="1">IF(OR(G25="",H25="",H25&lt;G25),"",H25-G25+1)</x:f>
        <x:v>7</x:v>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n">
        <x:f t="shared" si="4">IF(OR($G25="",$H25="",$H25&lt;$G25),"",IF(AND(Q$9&lt;=$H25,Q$9+6&gt;=$G25),1,""))</x:f>
        <x:v>1</x:v>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x:c r="B26" s="48" t="str">
        <x:v>Community</x:v>
      </x:c>
      <x:c r="C26" s="49" t="str">
        <x:v>Build moderated community board</x:v>
      </x:c>
      <x:c r="D26" s="50" t="str">
        <x:v>Codex swarm</x:v>
      </x:c>
      <x:c r="E26" s="50" t="str">
        <x:v>In Progress</x:v>
      </x:c>
      <x:c r="F26" s="50" t="str">
        <x:v>P0</x:v>
      </x:c>
      <x:c r="G26" s="58" t="n">
        <x:v>46286</x:v>
      </x:c>
      <x:c r="H26" s="58" t="n">
        <x:v>46299</x:v>
      </x:c>
      <x:c r="I26" s="11" t="n">
        <x:f t="shared" si="1">IF(OR(G26="",H26="",H26&lt;G26),"",H26-G26+1)</x:f>
        <x:v>14</x:v>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n">
        <x:f t="shared" si="4">IF(OR($G26="",$H26="",$H26&lt;$G26),"",IF(AND(Q$9&lt;=$H26,Q$9+6&gt;=$G26),1,""))</x:f>
        <x:v>1</x:v>
      </x:c>
      <x:c r="R26" s="13" t="n">
        <x:f t="shared" si="4">IF(OR($G26="",$H26="",$H26&lt;$G26),"",IF(AND(R$9&lt;=$H26,R$9+6&gt;=$G26),1,""))</x:f>
        <x:v>1</x:v>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x:c r="B27" s="52" t="str">
        <x:v>Community</x:v>
      </x:c>
      <x:c r="C27" s="53" t="str">
        <x:v>Implement feature, service, and collaboration requests</x:v>
      </x:c>
      <x:c r="D27" s="54" t="str">
        <x:v>Codex swarm</x:v>
      </x:c>
      <x:c r="E27" s="54" t="str">
        <x:v>In Progress</x:v>
      </x:c>
      <x:c r="F27" s="54" t="str">
        <x:v>P0</x:v>
      </x:c>
      <x:c r="G27" s="59" t="n">
        <x:v>46293</x:v>
      </x:c>
      <x:c r="H27" s="59" t="n">
        <x:v>46299</x:v>
      </x:c>
      <x:c r="I27" s="11" t="n">
        <x:f t="shared" si="1">IF(OR(G27="",H27="",H27&lt;G27),"",H27-G27+1)</x:f>
        <x:v>7</x:v>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n">
        <x:f t="shared" si="4">IF(OR($G27="",$H27="",$H27&lt;$G27),"",IF(AND(R$9&lt;=$H27,R$9+6&gt;=$G27),1,""))</x:f>
        <x:v>1</x:v>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x:c r="B28" s="48" t="str">
        <x:v>Community</x:v>
      </x:c>
      <x:c r="C28" s="49" t="str">
        <x:v>Build donation intent and receipt-safe workflow</x:v>
      </x:c>
      <x:c r="D28" s="50" t="str">
        <x:v>Codex swarm</x:v>
      </x:c>
      <x:c r="E28" s="50" t="str">
        <x:v>In Progress</x:v>
      </x:c>
      <x:c r="F28" s="50" t="str">
        <x:v>P0</x:v>
      </x:c>
      <x:c r="G28" s="58" t="n">
        <x:v>46293</x:v>
      </x:c>
      <x:c r="H28" s="58" t="n">
        <x:v>46299</x:v>
      </x:c>
      <x:c r="I28" s="11" t="n">
        <x:f t="shared" si="1">IF(OR(G28="",H28="",H28&lt;G28),"",H28-G28+1)</x:f>
        <x:v>7</x:v>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n">
        <x:f t="shared" si="4">IF(OR($G28="",$H28="",$H28&lt;$G28),"",IF(AND(R$9&lt;=$H28,R$9+6&gt;=$G28),1,""))</x:f>
        <x:v>1</x:v>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x:c r="B29" s="52" t="str">
        <x:v>AI Pipeline</x:v>
      </x:c>
      <x:c r="C29" s="53" t="str">
        <x:v>Store validated training pairs and consent records</x:v>
      </x:c>
      <x:c r="D29" s="54" t="str">
        <x:v>Codex swarm</x:v>
      </x:c>
      <x:c r="E29" s="54" t="str">
        <x:v>In Progress</x:v>
      </x:c>
      <x:c r="F29" s="54" t="str">
        <x:v>P0</x:v>
      </x:c>
      <x:c r="G29" s="59" t="n">
        <x:v>46300</x:v>
      </x:c>
      <x:c r="H29" s="59" t="n">
        <x:v>46306</x:v>
      </x:c>
      <x:c r="I29" s="11" t="n">
        <x:f t="shared" si="1">IF(OR(G29="",H29="",H29&lt;G29),"",H29-G29+1)</x:f>
        <x:v>7</x:v>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n">
        <x:f t="shared" si="4">IF(OR($G29="",$H29="",$H29&lt;$G29),"",IF(AND(S$9&lt;=$H29,S$9+6&gt;=$G29),1,""))</x:f>
        <x:v>1</x:v>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x:c r="B30" s="48" t="str">
        <x:v>AI Pipeline</x:v>
      </x:c>
      <x:c r="C30" s="49" t="str">
        <x:v>Implement dataset export and training job manifests</x:v>
      </x:c>
      <x:c r="D30" s="50" t="str">
        <x:v>Codex swarm</x:v>
      </x:c>
      <x:c r="E30" s="50" t="str">
        <x:v>In Progress</x:v>
      </x:c>
      <x:c r="F30" s="50" t="str">
        <x:v>P1</x:v>
      </x:c>
      <x:c r="G30" s="58" t="n">
        <x:v>46300</x:v>
      </x:c>
      <x:c r="H30" s="58" t="n">
        <x:v>46313</x:v>
      </x:c>
      <x:c r="I30" s="11" t="n">
        <x:f t="shared" si="1">IF(OR(G30="",H30="",H30&lt;G30),"",H30-G30+1)</x:f>
        <x:v>14</x:v>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n">
        <x:f t="shared" si="6">IF(OR($G30="",$H30="",$H30&lt;$G30),"",IF(AND(S$9&lt;=$H30,S$9+6&gt;=$G30),1,""))</x:f>
        <x:v>1</x:v>
      </x:c>
      <x:c r="T30" s="13" t="n">
        <x:f t="shared" si="6">IF(OR($G30="",$H30="",$H30&lt;$G30),"",IF(AND(T$9&lt;=$H30,T$9+6&gt;=$G30),1,""))</x:f>
        <x:v>1</x:v>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x:c r="B31" s="52" t="str">
        <x:v>AI Pipeline</x:v>
      </x:c>
      <x:c r="C31" s="53" t="str">
        <x:v>Implement human feedback API and metrics logging</x:v>
      </x:c>
      <x:c r="D31" s="54" t="str">
        <x:v>Codex swarm</x:v>
      </x:c>
      <x:c r="E31" s="54" t="str">
        <x:v>In Progress</x:v>
      </x:c>
      <x:c r="F31" s="54" t="str">
        <x:v>P0</x:v>
      </x:c>
      <x:c r="G31" s="60" t="n">
        <x:v>46307</x:v>
      </x:c>
      <x:c r="H31" s="60" t="n">
        <x:v>46313</x:v>
      </x:c>
      <x:c r="I31" s="11" t="n">
        <x:f t="shared" si="1">IF(OR(G31="",H31="",H31&lt;G31),"",H31-G31+1)</x:f>
        <x:v>7</x:v>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n">
        <x:f t="shared" si="6">IF(OR($G31="",$H31="",$H31&lt;$G31),"",IF(AND(T$9&lt;=$H31,T$9+6&gt;=$G31),1,""))</x:f>
        <x:v>1</x:v>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x:c r="B32" s="48" t="str">
        <x:v>AI Pipeline</x:v>
      </x:c>
      <x:c r="C32" s="49" t="str">
        <x:v>Build admin moderation and training dashboards</x:v>
      </x:c>
      <x:c r="D32" s="50" t="str">
        <x:v>Codex swarm</x:v>
      </x:c>
      <x:c r="E32" s="50" t="str">
        <x:v>In Progress</x:v>
      </x:c>
      <x:c r="F32" s="50" t="str">
        <x:v>P0</x:v>
      </x:c>
      <x:c r="G32" s="61" t="n">
        <x:v>46307</x:v>
      </x:c>
      <x:c r="H32" s="61" t="n">
        <x:v>46320</x:v>
      </x:c>
      <x:c r="I32" s="11" t="n">
        <x:f t="shared" si="1">IF(OR(G32="",H32="",H32&lt;G32),"",H32-G32+1)</x:f>
        <x:v>14</x:v>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n">
        <x:f t="shared" si="6">IF(OR($G32="",$H32="",$H32&lt;$G32),"",IF(AND(T$9&lt;=$H32,T$9+6&gt;=$G32),1,""))</x:f>
        <x:v>1</x:v>
      </x:c>
      <x:c r="U32" s="12" t="n">
        <x:f t="shared" si="7">IF(OR($G32="",$H32="",$H32&lt;$G32),"",IF(AND(U$9&lt;=$H32,U$9+6&gt;=$G32),1,""))</x:f>
        <x:v>1</x:v>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x:c r="B33" s="52" t="str">
        <x:v>Launch</x:v>
      </x:c>
      <x:c r="C33" s="53" t="str">
        <x:v>Add sitemap, robots, structured data, and hreflang</x:v>
      </x:c>
      <x:c r="D33" s="54" t="str">
        <x:v>Codex swarm</x:v>
      </x:c>
      <x:c r="E33" s="54" t="str">
        <x:v>In Progress</x:v>
      </x:c>
      <x:c r="F33" s="54" t="str">
        <x:v>P0</x:v>
      </x:c>
      <x:c r="G33" s="60" t="n">
        <x:v>46321</x:v>
      </x:c>
      <x:c r="H33" s="60" t="n">
        <x:v>46327</x:v>
      </x:c>
      <x:c r="I33" s="11" t="n">
        <x:f t="shared" si="1">IF(OR(G33="",H33="",H33&lt;G33),"",H33-G33+1)</x:f>
        <x:v>7</x:v>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n">
        <x:f t="shared" si="7">IF(OR($G33="",$H33="",$H33&lt;$G33),"",IF(AND(V$9&lt;=$H33,V$9+6&gt;=$G33),1,""))</x:f>
        <x:v>1</x:v>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x:c r="B34" s="48" t="str">
        <x:v>Launch</x:v>
      </x:c>
      <x:c r="C34" s="49" t="str">
        <x:v>Run automated accessibility and route coverage checks</x:v>
      </x:c>
      <x:c r="D34" s="50" t="str">
        <x:v>Codex swarm</x:v>
      </x:c>
      <x:c r="E34" s="50" t="str">
        <x:v>In Progress</x:v>
      </x:c>
      <x:c r="F34" s="50" t="str">
        <x:v>P0</x:v>
      </x:c>
      <x:c r="G34" s="61" t="n">
        <x:v>46321</x:v>
      </x:c>
      <x:c r="H34" s="61" t="n">
        <x:v>46327</x:v>
      </x:c>
      <x:c r="I34" s="11" t="n">
        <x:f t="shared" si="1">IF(OR(G34="",H34="",H34&lt;G34),"",H34-G34+1)</x:f>
        <x:v>7</x:v>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n">
        <x:f t="shared" si="7">IF(OR($G34="",$H34="",$H34&lt;$G34),"",IF(AND(V$9&lt;=$H34,V$9+6&gt;=$G34),1,""))</x:f>
        <x:v>1</x:v>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x:c r="B35" s="52" t="str">
        <x:v>Launch</x:v>
      </x:c>
      <x:c r="C35" s="53" t="str">
        <x:v>Run production build and fix integration defects</x:v>
      </x:c>
      <x:c r="D35" s="54" t="str">
        <x:v>Codex swarm</x:v>
      </x:c>
      <x:c r="E35" s="54" t="str">
        <x:v>In Progress</x:v>
      </x:c>
      <x:c r="F35" s="54" t="str">
        <x:v>P0</x:v>
      </x:c>
      <x:c r="G35" s="60" t="n">
        <x:v>46328</x:v>
      </x:c>
      <x:c r="H35" s="60" t="n">
        <x:v>46334</x:v>
      </x:c>
      <x:c r="I35" s="11" t="n">
        <x:f t="shared" si="1">IF(OR(G35="",H35="",H35&lt;G35),"",H35-G35+1)</x:f>
        <x:v>7</x:v>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n">
        <x:f t="shared" si="7">IF(OR($G35="",$H35="",$H35&lt;$G35),"",IF(AND(W$9&lt;=$H35,W$9+6&gt;=$G35),1,""))</x:f>
        <x:v>1</x:v>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x:c r="B36" s="48" t="str">
        <x:v>Launch</x:v>
      </x:c>
      <x:c r="C36" s="49" t="str">
        <x:v>Confirm source permissions and approved reviewers</x:v>
      </x:c>
      <x:c r="D36" s="50" t="str">
        <x:v>Oliver P</x:v>
      </x:c>
      <x:c r="E36" s="50" t="str">
        <x:v>At Risk</x:v>
      </x:c>
      <x:c r="F36" s="50" t="str">
        <x:v>P0</x:v>
      </x:c>
      <x:c r="G36" s="61" t="n">
        <x:v>46244</x:v>
      </x:c>
      <x:c r="H36" s="61" t="n">
        <x:v>46334</x:v>
      </x:c>
      <x:c r="I36" s="11" t="n">
        <x:f t="shared" si="1">IF(OR(G36="",H36="",H36&lt;G36),"",H36-G36+1)</x:f>
        <x:v>91</x:v>
      </x:c>
      <x:c r="J36" s="15"/>
      <x:c r="K36" s="12" t="n">
        <x:f t="shared" si="6">IF(OR($G36="",$H36="",$H36&lt;$G36),"",IF(AND(K$9&lt;=$H36,K$9+6&gt;=$G36),1,""))</x:f>
        <x:v>1</x:v>
      </x:c>
      <x:c r="L36" s="13" t="n">
        <x:f t="shared" si="6">IF(OR($G36="",$H36="",$H36&lt;$G36),"",IF(AND(L$9&lt;=$H36,L$9+6&gt;=$G36),1,""))</x:f>
        <x:v>1</x:v>
      </x:c>
      <x:c r="M36" s="12" t="n">
        <x:f t="shared" si="6">IF(OR($G36="",$H36="",$H36&lt;$G36),"",IF(AND(M$9&lt;=$H36,M$9+6&gt;=$G36),1,""))</x:f>
        <x:v>1</x:v>
      </x:c>
      <x:c r="N36" s="13" t="n">
        <x:f t="shared" si="6">IF(OR($G36="",$H36="",$H36&lt;$G36),"",IF(AND(N$9&lt;=$H36,N$9+6&gt;=$G36),1,""))</x:f>
        <x:v>1</x:v>
      </x:c>
      <x:c r="O36" s="12" t="n">
        <x:f t="shared" si="6">IF(OR($G36="",$H36="",$H36&lt;$G36),"",IF(AND(O$9&lt;=$H36,O$9+6&gt;=$G36),1,""))</x:f>
        <x:v>1</x:v>
      </x:c>
      <x:c r="P36" s="13" t="n">
        <x:f t="shared" si="6">IF(OR($G36="",$H36="",$H36&lt;$G36),"",IF(AND(P$9&lt;=$H36,P$9+6&gt;=$G36),1,""))</x:f>
        <x:v>1</x:v>
      </x:c>
      <x:c r="Q36" s="12" t="n">
        <x:f t="shared" si="6">IF(OR($G36="",$H36="",$H36&lt;$G36),"",IF(AND(Q$9&lt;=$H36,Q$9+6&gt;=$G36),1,""))</x:f>
        <x:v>1</x:v>
      </x:c>
      <x:c r="R36" s="13" t="n">
        <x:f t="shared" si="6">IF(OR($G36="",$H36="",$H36&lt;$G36),"",IF(AND(R$9&lt;=$H36,R$9+6&gt;=$G36),1,""))</x:f>
        <x:v>1</x:v>
      </x:c>
      <x:c r="S36" s="12" t="n">
        <x:f t="shared" si="6">IF(OR($G36="",$H36="",$H36&lt;$G36),"",IF(AND(S$9&lt;=$H36,S$9+6&gt;=$G36),1,""))</x:f>
        <x:v>1</x:v>
      </x:c>
      <x:c r="T36" s="13" t="n">
        <x:f t="shared" si="6">IF(OR($G36="",$H36="",$H36&lt;$G36),"",IF(AND(T$9&lt;=$H36,T$9+6&gt;=$G36),1,""))</x:f>
        <x:v>1</x:v>
      </x:c>
      <x:c r="U36" s="12" t="n">
        <x:f t="shared" si="7">IF(OR($G36="",$H36="",$H36&lt;$G36),"",IF(AND(U$9&lt;=$H36,U$9+6&gt;=$G36),1,""))</x:f>
        <x:v>1</x:v>
      </x:c>
      <x:c r="V36" s="13" t="n">
        <x:f t="shared" si="7">IF(OR($G36="",$H36="",$H36&lt;$G36),"",IF(AND(V$9&lt;=$H36,V$9+6&gt;=$G36),1,""))</x:f>
        <x:v>1</x:v>
      </x:c>
      <x:c r="W36" s="12" t="n">
        <x:f t="shared" si="7">IF(OR($G36="",$H36="",$H36&lt;$G36),"",IF(AND(W$9&lt;=$H36,W$9+6&gt;=$G36),1,""))</x:f>
        <x:v>1</x:v>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x:c r="B37" s="52" t="str">
        <x:v>Launch</x:v>
      </x:c>
      <x:c r="C37" s="53" t="str">
        <x:v>Confirm interpreters, court partners, and liability path</x:v>
      </x:c>
      <x:c r="D37" s="54" t="str">
        <x:v>Oliver P</x:v>
      </x:c>
      <x:c r="E37" s="54" t="str">
        <x:v>At Risk</x:v>
      </x:c>
      <x:c r="F37" s="54" t="str">
        <x:v>P0</x:v>
      </x:c>
      <x:c r="G37" s="60" t="n">
        <x:v>46244</x:v>
      </x:c>
      <x:c r="H37" s="60" t="n">
        <x:v>46334</x:v>
      </x:c>
      <x:c r="I37" s="11" t="n">
        <x:f t="shared" si="1">IF(OR(G37="",H37="",H37&lt;G37),"",H37-G37+1)</x:f>
        <x:v>91</x:v>
      </x:c>
      <x:c r="J37" s="15"/>
      <x:c r="K37" s="12" t="n">
        <x:f t="shared" si="6">IF(OR($G37="",$H37="",$H37&lt;$G37),"",IF(AND(K$9&lt;=$H37,K$9+6&gt;=$G37),1,""))</x:f>
        <x:v>1</x:v>
      </x:c>
      <x:c r="L37" s="13" t="n">
        <x:f t="shared" si="6">IF(OR($G37="",$H37="",$H37&lt;$G37),"",IF(AND(L$9&lt;=$H37,L$9+6&gt;=$G37),1,""))</x:f>
        <x:v>1</x:v>
      </x:c>
      <x:c r="M37" s="12" t="n">
        <x:f t="shared" si="6">IF(OR($G37="",$H37="",$H37&lt;$G37),"",IF(AND(M$9&lt;=$H37,M$9+6&gt;=$G37),1,""))</x:f>
        <x:v>1</x:v>
      </x:c>
      <x:c r="N37" s="13" t="n">
        <x:f t="shared" si="6">IF(OR($G37="",$H37="",$H37&lt;$G37),"",IF(AND(N$9&lt;=$H37,N$9+6&gt;=$G37),1,""))</x:f>
        <x:v>1</x:v>
      </x:c>
      <x:c r="O37" s="12" t="n">
        <x:f t="shared" si="6">IF(OR($G37="",$H37="",$H37&lt;$G37),"",IF(AND(O$9&lt;=$H37,O$9+6&gt;=$G37),1,""))</x:f>
        <x:v>1</x:v>
      </x:c>
      <x:c r="P37" s="13" t="n">
        <x:f t="shared" si="6">IF(OR($G37="",$H37="",$H37&lt;$G37),"",IF(AND(P$9&lt;=$H37,P$9+6&gt;=$G37),1,""))</x:f>
        <x:v>1</x:v>
      </x:c>
      <x:c r="Q37" s="12" t="n">
        <x:f t="shared" si="6">IF(OR($G37="",$H37="",$H37&lt;$G37),"",IF(AND(Q$9&lt;=$H37,Q$9+6&gt;=$G37),1,""))</x:f>
        <x:v>1</x:v>
      </x:c>
      <x:c r="R37" s="13" t="n">
        <x:f t="shared" si="6">IF(OR($G37="",$H37="",$H37&lt;$G37),"",IF(AND(R$9&lt;=$H37,R$9+6&gt;=$G37),1,""))</x:f>
        <x:v>1</x:v>
      </x:c>
      <x:c r="S37" s="12" t="n">
        <x:f t="shared" si="6">IF(OR($G37="",$H37="",$H37&lt;$G37),"",IF(AND(S$9&lt;=$H37,S$9+6&gt;=$G37),1,""))</x:f>
        <x:v>1</x:v>
      </x:c>
      <x:c r="T37" s="13" t="n">
        <x:f t="shared" si="6">IF(OR($G37="",$H37="",$H37&lt;$G37),"",IF(AND(T$9&lt;=$H37,T$9+6&gt;=$G37),1,""))</x:f>
        <x:v>1</x:v>
      </x:c>
      <x:c r="U37" s="12" t="n">
        <x:f t="shared" si="7">IF(OR($G37="",$H37="",$H37&lt;$G37),"",IF(AND(U$9&lt;=$H37,U$9+6&gt;=$G37),1,""))</x:f>
        <x:v>1</x:v>
      </x:c>
      <x:c r="V37" s="13" t="n">
        <x:f t="shared" si="7">IF(OR($G37="",$H37="",$H37&lt;$G37),"",IF(AND(V$9&lt;=$H37,V$9+6&gt;=$G37),1,""))</x:f>
        <x:v>1</x:v>
      </x:c>
      <x:c r="W37" s="12" t="n">
        <x:f t="shared" si="7">IF(OR($G37="",$H37="",$H37&lt;$G37),"",IF(AND(W$9&lt;=$H37,W$9+6&gt;=$G37),1,""))</x:f>
        <x:v>1</x:v>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x:c r="B38" s="48" t="str">
        <x:v>Launch</x:v>
      </x:c>
      <x:c r="C38" s="49" t="str">
        <x:v>Select donation processor and confirm receipt language</x:v>
      </x:c>
      <x:c r="D38" s="50" t="str">
        <x:v>Oliver P</x:v>
      </x:c>
      <x:c r="E38" s="50" t="str">
        <x:v>At Risk</x:v>
      </x:c>
      <x:c r="F38" s="50" t="str">
        <x:v>P0</x:v>
      </x:c>
      <x:c r="G38" s="61" t="n">
        <x:v>46244</x:v>
      </x:c>
      <x:c r="H38" s="61" t="n">
        <x:v>46334</x:v>
      </x:c>
      <x:c r="I38" s="11" t="n">
        <x:f t="shared" si="1">IF(OR(G38="",H38="",H38&lt;G38),"",H38-G38+1)</x:f>
        <x:v>91</x:v>
      </x:c>
      <x:c r="J38" s="15"/>
      <x:c r="K38" s="12" t="n">
        <x:f t="shared" si="6">IF(OR($G38="",$H38="",$H38&lt;$G38),"",IF(AND(K$9&lt;=$H38,K$9+6&gt;=$G38),1,""))</x:f>
        <x:v>1</x:v>
      </x:c>
      <x:c r="L38" s="13" t="n">
        <x:f t="shared" si="6">IF(OR($G38="",$H38="",$H38&lt;$G38),"",IF(AND(L$9&lt;=$H38,L$9+6&gt;=$G38),1,""))</x:f>
        <x:v>1</x:v>
      </x:c>
      <x:c r="M38" s="12" t="n">
        <x:f t="shared" si="6">IF(OR($G38="",$H38="",$H38&lt;$G38),"",IF(AND(M$9&lt;=$H38,M$9+6&gt;=$G38),1,""))</x:f>
        <x:v>1</x:v>
      </x:c>
      <x:c r="N38" s="13" t="n">
        <x:f t="shared" si="6">IF(OR($G38="",$H38="",$H38&lt;$G38),"",IF(AND(N$9&lt;=$H38,N$9+6&gt;=$G38),1,""))</x:f>
        <x:v>1</x:v>
      </x:c>
      <x:c r="O38" s="12" t="n">
        <x:f t="shared" si="6">IF(OR($G38="",$H38="",$H38&lt;$G38),"",IF(AND(O$9&lt;=$H38,O$9+6&gt;=$G38),1,""))</x:f>
        <x:v>1</x:v>
      </x:c>
      <x:c r="P38" s="13" t="n">
        <x:f t="shared" si="6">IF(OR($G38="",$H38="",$H38&lt;$G38),"",IF(AND(P$9&lt;=$H38,P$9+6&gt;=$G38),1,""))</x:f>
        <x:v>1</x:v>
      </x:c>
      <x:c r="Q38" s="12" t="n">
        <x:f t="shared" si="6">IF(OR($G38="",$H38="",$H38&lt;$G38),"",IF(AND(Q$9&lt;=$H38,Q$9+6&gt;=$G38),1,""))</x:f>
        <x:v>1</x:v>
      </x:c>
      <x:c r="R38" s="13" t="n">
        <x:f t="shared" si="6">IF(OR($G38="",$H38="",$H38&lt;$G38),"",IF(AND(R$9&lt;=$H38,R$9+6&gt;=$G38),1,""))</x:f>
        <x:v>1</x:v>
      </x:c>
      <x:c r="S38" s="12" t="n">
        <x:f t="shared" si="6">IF(OR($G38="",$H38="",$H38&lt;$G38),"",IF(AND(S$9&lt;=$H38,S$9+6&gt;=$G38),1,""))</x:f>
        <x:v>1</x:v>
      </x:c>
      <x:c r="T38" s="13" t="n">
        <x:f t="shared" si="6">IF(OR($G38="",$H38="",$H38&lt;$G38),"",IF(AND(T$9&lt;=$H38,T$9+6&gt;=$G38),1,""))</x:f>
        <x:v>1</x:v>
      </x:c>
      <x:c r="U38" s="12" t="n">
        <x:f t="shared" si="7">IF(OR($G38="",$H38="",$H38&lt;$G38),"",IF(AND(U$9&lt;=$H38,U$9+6&gt;=$G38),1,""))</x:f>
        <x:v>1</x:v>
      </x:c>
      <x:c r="V38" s="13" t="n">
        <x:f t="shared" si="7">IF(OR($G38="",$H38="",$H38&lt;$G38),"",IF(AND(V$9&lt;=$H38,V$9+6&gt;=$G38),1,""))</x:f>
        <x:v>1</x:v>
      </x:c>
      <x:c r="W38" s="12" t="n">
        <x:f t="shared" si="7">IF(OR($G38="",$H38="",$H38&lt;$G38),"",IF(AND(W$9&lt;=$H38,W$9+6&gt;=$G38),1,""))</x:f>
        <x:v>1</x:v>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x:c r="B39" s="52" t="str">
        <x:v>Launch</x:v>
      </x:c>
      <x:c r="C39" s="53" t="str">
        <x:v>Approve and publish the verified Sites version</x:v>
      </x:c>
      <x:c r="D39" s="54" t="str">
        <x:v>Oliver P</x:v>
      </x:c>
      <x:c r="E39" s="54" t="str">
        <x:v>Not Started</x:v>
      </x:c>
      <x:c r="F39" s="54" t="str">
        <x:v>P0</x:v>
      </x:c>
      <x:c r="G39" s="60" t="n">
        <x:v>46335</x:v>
      </x:c>
      <x:c r="H39" s="60" t="n">
        <x:v>46341</x:v>
      </x:c>
      <x:c r="I39" s="11" t="n">
        <x:f t="shared" si="1">IF(OR(G39="",H39="",H39&lt;G39),"",H39-G39+1)</x:f>
        <x:v>7</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n">
        <x:f t="shared" si="7">IF(OR($G39="",$H39="",$H39&lt;$G39),"",IF(AND(X$9&lt;=$H39,X$9+6&gt;=$G39),1,""))</x:f>
        <x:v>1</x:v>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29" t="str">
        <x:v>Update Status, Priority, Start Date, and End Date as implementation decisions are confirmed. Red items need KOA approval or external evidence before launch.</x:v>
      </x:c>
      <x:c r="C41" s="30" t="s">
        <x:v>26</x:v>
      </x:c>
      <x:c r="D41" s="30" t="s">
        <x:v>26</x:v>
      </x:c>
      <x:c r="E41" s="30" t="s">
        <x:v>26</x:v>
      </x:c>
      <x:c r="F41" s="30" t="s">
        <x:v>26</x:v>
      </x:c>
      <x:c r="G41" s="30" t="s">
        <x:v>26</x:v>
      </x:c>
      <x:c r="H41" s="30" t="s">
        <x:v>26</x:v>
      </x:c>
      <x:c r="I41" s="30" t="s">
        <x:v>26</x:v>
      </x:c>
      <x:c r="J41" s="30" t="s">
        <x:v>26</x:v>
      </x:c>
      <x:c r="K41" s="30" t="s">
        <x:v>26</x:v>
      </x:c>
      <x:c r="L41" s="30" t="s">
        <x:v>26</x:v>
      </x:c>
      <x:c r="M41" s="30" t="s">
        <x:v>26</x:v>
      </x:c>
      <x:c r="N41" s="30" t="s">
        <x:v>26</x:v>
      </x:c>
      <x:c r="O41" s="30" t="s">
        <x:v>26</x:v>
      </x:c>
      <x:c r="P41" s="30" t="s">
        <x:v>26</x:v>
      </x:c>
      <x:c r="Q41" s="30" t="s">
        <x:v>26</x:v>
      </x:c>
      <x:c r="R41" s="30" t="s">
        <x:v>26</x:v>
      </x:c>
      <x:c r="S41" s="30" t="s">
        <x:v>26</x:v>
      </x:c>
      <x:c r="T41" s="30" t="s">
        <x:v>26</x:v>
      </x:c>
      <x:c r="U41" s="30" t="s">
        <x:v>26</x:v>
      </x:c>
      <x:c r="V41" s="30" t="s">
        <x:v>26</x:v>
      </x:c>
      <x:c r="W41" s="30" t="s">
        <x:v>26</x:v>
      </x:c>
      <x:c r="X41" s="30" t="s">
        <x:v>26</x:v>
      </x:c>
      <x:c r="Y41" s="30" t="s">
        <x:v>26</x:v>
      </x:c>
      <x:c r="Z41" s="30" t="s">
        <x:v>26</x:v>
      </x:c>
      <x:c r="AA41" s="30" t="s">
        <x:v>26</x:v>
      </x:c>
      <x:c r="AB41" s="30" t="s">
        <x:v>26</x:v>
      </x:c>
      <x:c r="AC41" s="30" t="s">
        <x:v>26</x:v>
      </x:c>
      <x:c r="AD41" s="31" t="s">
        <x:v>26</x:v>
      </x:c>
    </x:row>
    <x:row r="42" ht="24" customHeight="1">
      <x:c r="B42" s="32" t="s">
        <x:v>26</x:v>
      </x:c>
      <x:c r="C42" s="33" t="s">
        <x:v>26</x:v>
      </x:c>
      <x:c r="D42" s="33" t="s">
        <x:v>26</x:v>
      </x:c>
      <x:c r="E42" s="33" t="s">
        <x:v>26</x:v>
      </x:c>
      <x:c r="F42" s="33" t="s">
        <x:v>26</x:v>
      </x:c>
      <x:c r="G42" s="33" t="s">
        <x:v>26</x:v>
      </x:c>
      <x:c r="H42" s="33" t="s">
        <x:v>26</x:v>
      </x:c>
      <x:c r="I42" s="33" t="s">
        <x:v>26</x:v>
      </x:c>
      <x:c r="J42" s="33" t="s">
        <x:v>26</x:v>
      </x:c>
      <x:c r="K42" s="33" t="s">
        <x:v>26</x:v>
      </x:c>
      <x:c r="L42" s="33" t="s">
        <x:v>26</x:v>
      </x:c>
      <x:c r="M42" s="33" t="s">
        <x:v>26</x:v>
      </x:c>
      <x:c r="N42" s="33" t="s">
        <x:v>26</x:v>
      </x:c>
      <x:c r="O42" s="33" t="s">
        <x:v>26</x:v>
      </x:c>
      <x:c r="P42" s="33" t="s">
        <x:v>26</x:v>
      </x:c>
      <x:c r="Q42" s="33" t="s">
        <x:v>26</x:v>
      </x:c>
      <x:c r="R42" s="33" t="s">
        <x:v>26</x:v>
      </x:c>
      <x:c r="S42" s="33" t="s">
        <x:v>26</x:v>
      </x:c>
      <x:c r="T42" s="33" t="s">
        <x:v>26</x:v>
      </x:c>
      <x:c r="U42" s="33" t="s">
        <x:v>26</x:v>
      </x:c>
      <x:c r="V42" s="33" t="s">
        <x:v>26</x:v>
      </x:c>
      <x:c r="W42" s="33" t="s">
        <x:v>26</x:v>
      </x:c>
      <x:c r="X42" s="33" t="s">
        <x:v>26</x:v>
      </x:c>
      <x:c r="Y42" s="33" t="s">
        <x:v>26</x:v>
      </x:c>
      <x:c r="Z42" s="33" t="s">
        <x:v>26</x:v>
      </x:c>
      <x:c r="AA42" s="33" t="s">
        <x:v>26</x:v>
      </x:c>
      <x:c r="AB42" s="33" t="s">
        <x:v>26</x:v>
      </x:c>
      <x:c r="AC42" s="33" t="s">
        <x:v>26</x:v>
      </x:c>
      <x:c r="AD42" s="34" t="s">
        <x:v>26</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"Product,Engineering,Design,Growth,Support &amp; Ops,Legal &amp; Security"</x:formula1>
    </x:dataValidation>
    <x:dataValidation type="list" sqref="D10:D39">
      <x:formula1>"Maya Chen,Lena Ortiz,Noah Patel,Ravi Singh,Ivy Park,Sofia Reed,Miles Grant,Ava Brooks,Ethan Cole"</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